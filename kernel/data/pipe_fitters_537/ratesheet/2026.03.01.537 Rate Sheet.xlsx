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nciembor/Downloads/"/>
    </mc:Choice>
  </mc:AlternateContent>
  <xr:revisionPtr revIDLastSave="0" documentId="13_ncr:1_{279A2240-80D8-A945-A968-8A69711B9677}" xr6:coauthVersionLast="47" xr6:coauthVersionMax="47" xr10:uidLastSave="{00000000-0000-0000-0000-000000000000}"/>
  <bookViews>
    <workbookView xWindow="0" yWindow="620" windowWidth="33600" windowHeight="19280" tabRatio="500" xr2:uid="{00000000-000D-0000-FFFF-FFFF00000000}"/>
  </bookViews>
  <sheets>
    <sheet name="2026.03.01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" i="3" l="1"/>
  <c r="M11" i="3" s="1"/>
  <c r="J11" i="3"/>
  <c r="I11" i="3"/>
  <c r="K10" i="3"/>
  <c r="M10" i="3" s="1"/>
  <c r="J10" i="3"/>
  <c r="I10" i="3"/>
  <c r="M9" i="3"/>
  <c r="L9" i="3"/>
  <c r="K9" i="3"/>
  <c r="J9" i="3"/>
  <c r="I9" i="3"/>
  <c r="L8" i="3"/>
  <c r="K8" i="3"/>
  <c r="M8" i="3" s="1"/>
  <c r="J8" i="3"/>
  <c r="I8" i="3"/>
  <c r="L7" i="3"/>
  <c r="K7" i="3"/>
  <c r="M7" i="3" s="1"/>
  <c r="J7" i="3"/>
  <c r="I7" i="3"/>
  <c r="M6" i="3"/>
  <c r="L6" i="3"/>
  <c r="K6" i="3"/>
  <c r="J6" i="3"/>
  <c r="I6" i="3"/>
  <c r="K5" i="3"/>
  <c r="M5" i="3" s="1"/>
  <c r="J5" i="3"/>
  <c r="I5" i="3"/>
  <c r="H5" i="3"/>
  <c r="M4" i="3"/>
  <c r="L4" i="3"/>
  <c r="K4" i="3"/>
  <c r="I4" i="3"/>
  <c r="H4" i="3"/>
  <c r="J4" i="3" s="1"/>
  <c r="K3" i="3"/>
  <c r="M3" i="3" s="1"/>
  <c r="J3" i="3"/>
  <c r="I3" i="3"/>
  <c r="H3" i="3"/>
  <c r="K2" i="3"/>
  <c r="M2" i="3" s="1"/>
  <c r="I2" i="3"/>
  <c r="H2" i="3"/>
  <c r="J2" i="3" s="1"/>
  <c r="L5" i="3" l="1"/>
  <c r="L10" i="3"/>
  <c r="L3" i="3"/>
  <c r="L2" i="3"/>
  <c r="L11" i="3"/>
</calcChain>
</file>

<file path=xl/sharedStrings.xml><?xml version="1.0" encoding="utf-8"?>
<sst xmlns="http://schemas.openxmlformats.org/spreadsheetml/2006/main" count="71" uniqueCount="44">
  <si>
    <t>Union Group</t>
  </si>
  <si>
    <t>Trade</t>
  </si>
  <si>
    <t>Union Local</t>
  </si>
  <si>
    <t>Zone</t>
  </si>
  <si>
    <t>Package</t>
  </si>
  <si>
    <t>Start Date</t>
  </si>
  <si>
    <t>End Date</t>
  </si>
  <si>
    <t>Wage</t>
  </si>
  <si>
    <t>Wage 1.5x</t>
  </si>
  <si>
    <t>Temporary Heat</t>
  </si>
  <si>
    <t>Temporary Heat 1.5x</t>
  </si>
  <si>
    <t>Health &amp; Welfare</t>
  </si>
  <si>
    <t>Industry Improvement</t>
  </si>
  <si>
    <t>Education</t>
  </si>
  <si>
    <t>Labor/Mgt. Trust Fund</t>
  </si>
  <si>
    <t>Pension National</t>
  </si>
  <si>
    <t>Union Dues 537</t>
  </si>
  <si>
    <t>Organizing Fund 537</t>
  </si>
  <si>
    <t>C.O.P.E. 537</t>
  </si>
  <si>
    <t>Vacation 1 537</t>
  </si>
  <si>
    <t>Vacation 2 537</t>
  </si>
  <si>
    <t>Vacation 3 537</t>
  </si>
  <si>
    <t>Vacation 4 537</t>
  </si>
  <si>
    <t>Vacation 5 537</t>
  </si>
  <si>
    <t>Vacation 6 537</t>
  </si>
  <si>
    <t>UA PAC</t>
  </si>
  <si>
    <t>SMART</t>
  </si>
  <si>
    <t>Power &amp; Gas</t>
  </si>
  <si>
    <t>General Foreman</t>
  </si>
  <si>
    <t>Area Foreman</t>
  </si>
  <si>
    <t>Foreman</t>
  </si>
  <si>
    <t>Building</t>
  </si>
  <si>
    <t>Journeyman</t>
  </si>
  <si>
    <t>Apprentice Year 5</t>
  </si>
  <si>
    <t>Apprentice Year 4</t>
  </si>
  <si>
    <t>Apprentice Year 3</t>
  </si>
  <si>
    <t>Apprentice Year 2</t>
  </si>
  <si>
    <t>Apprentice Year 1</t>
  </si>
  <si>
    <t>Wage 1.1x</t>
  </si>
  <si>
    <t>Temporary Heat 1.1x</t>
  </si>
  <si>
    <t>Pension Local</t>
  </si>
  <si>
    <t>Annuity</t>
  </si>
  <si>
    <t>Public Relations</t>
  </si>
  <si>
    <t>Pipefitter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</si>
</sst>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/d/yyyy"/>
  </numFmts>
  <fonts count="3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"/>
  <sheetViews>
    <sheetView tabSelected="1" zoomScaleNormal="100" workbookViewId="0"/>
  </sheetViews>
  <sheetFormatPr baseColWidth="10" defaultColWidth="8.6640625" defaultRowHeight="15" x14ac:dyDescent="0.2"/>
  <cols>
    <col min="1" max="1" width="12.6640625" customWidth="1"/>
    <col min="2" max="2" width="8.1640625" customWidth="1"/>
    <col min="3" max="3" width="11.83203125" customWidth="1"/>
    <col min="4" max="4" width="12" customWidth="1"/>
    <col min="5" max="5" width="15.6640625" customWidth="1"/>
    <col min="6" max="6" width="9.83203125" customWidth="1"/>
    <col min="7" max="7" width="9.1640625" customWidth="1"/>
    <col min="8" max="8" width="6" customWidth="1"/>
    <col min="9" max="9" width="10" customWidth="1"/>
    <col min="11" max="11" width="15.1640625" customWidth="1"/>
    <col min="12" max="12" width="19.33203125" customWidth="1"/>
    <col min="14" max="14" width="13.6640625" customWidth="1"/>
    <col min="15" max="15" width="15.6640625" customWidth="1"/>
    <col min="16" max="16" width="8.1640625" customWidth="1"/>
    <col min="17" max="17" width="20.83203125" customWidth="1"/>
    <col min="18" max="18" width="10.1640625" customWidth="1"/>
    <col min="19" max="19" width="21.1640625" customWidth="1"/>
    <col min="20" max="20" width="16.33203125" customWidth="1"/>
    <col min="21" max="21" width="11.5" customWidth="1"/>
    <col min="22" max="22" width="16.33203125" customWidth="1"/>
    <col min="23" max="23" width="8.33203125" customWidth="1"/>
    <col min="24" max="25" width="14" customWidth="1"/>
    <col min="30" max="30" width="15.5" customWidth="1"/>
    <col min="31" max="31" width="8.1640625" customWidth="1"/>
    <col min="32" max="32" width="8.83203125" customWidth="1"/>
  </cols>
  <sheetData>
    <row r="1" spans="1:3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38</v>
      </c>
      <c r="J1" s="3" t="s">
        <v>8</v>
      </c>
      <c r="K1" s="3" t="s">
        <v>9</v>
      </c>
      <c r="L1" s="3" t="s">
        <v>39</v>
      </c>
      <c r="M1" s="3" t="s">
        <v>10</v>
      </c>
      <c r="N1" s="2" t="s">
        <v>40</v>
      </c>
      <c r="O1" s="2" t="s">
        <v>11</v>
      </c>
      <c r="P1" s="2" t="s">
        <v>41</v>
      </c>
      <c r="Q1" s="2" t="s">
        <v>12</v>
      </c>
      <c r="R1" s="2" t="s">
        <v>13</v>
      </c>
      <c r="S1" s="2" t="s">
        <v>14</v>
      </c>
      <c r="T1" s="2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42</v>
      </c>
      <c r="AE1" s="4" t="s">
        <v>25</v>
      </c>
    </row>
    <row r="2" spans="1:31" x14ac:dyDescent="0.2">
      <c r="A2" s="1" t="s">
        <v>26</v>
      </c>
      <c r="B2" s="1" t="s">
        <v>43</v>
      </c>
      <c r="C2" s="1">
        <v>537</v>
      </c>
      <c r="D2" s="1" t="s">
        <v>27</v>
      </c>
      <c r="E2" s="1" t="s">
        <v>28</v>
      </c>
      <c r="F2" s="5">
        <v>46082</v>
      </c>
      <c r="G2" s="5">
        <v>46265</v>
      </c>
      <c r="H2" s="1">
        <f>H5*1.25</f>
        <v>91.35</v>
      </c>
      <c r="I2" s="6">
        <f t="shared" ref="I2:I11" si="0">H2*1.1</f>
        <v>100.485</v>
      </c>
      <c r="J2" s="6">
        <f t="shared" ref="J2:J11" si="1">H2*1.5</f>
        <v>137.02499999999998</v>
      </c>
      <c r="K2" s="6">
        <f t="shared" ref="K2:K11" si="2">H2*0.6</f>
        <v>54.809999999999995</v>
      </c>
      <c r="L2" s="6">
        <f t="shared" ref="L2:L11" si="3">K2*1.1</f>
        <v>60.290999999999997</v>
      </c>
      <c r="M2" s="6">
        <f t="shared" ref="M2:M11" si="4">K2*1.5</f>
        <v>82.214999999999989</v>
      </c>
      <c r="N2" s="6">
        <v>14</v>
      </c>
      <c r="O2" s="6">
        <v>13.95</v>
      </c>
      <c r="P2" s="6">
        <v>9.5500000000000007</v>
      </c>
      <c r="Q2" s="6">
        <v>0.25</v>
      </c>
      <c r="R2" s="6">
        <v>2.17</v>
      </c>
      <c r="S2" s="6">
        <v>2.2000000000000002</v>
      </c>
      <c r="T2" s="6">
        <v>0.3</v>
      </c>
      <c r="U2" s="7">
        <v>0.93</v>
      </c>
      <c r="V2" s="7">
        <v>0.15</v>
      </c>
      <c r="W2" s="8">
        <v>0.02</v>
      </c>
      <c r="X2" s="7">
        <v>0</v>
      </c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8">
        <v>0.09</v>
      </c>
      <c r="AE2" s="8">
        <v>0.05</v>
      </c>
    </row>
    <row r="3" spans="1:31" x14ac:dyDescent="0.2">
      <c r="A3" s="1" t="s">
        <v>26</v>
      </c>
      <c r="B3" s="1" t="s">
        <v>43</v>
      </c>
      <c r="C3" s="1">
        <v>537</v>
      </c>
      <c r="D3" s="1" t="s">
        <v>27</v>
      </c>
      <c r="E3" s="1" t="s">
        <v>29</v>
      </c>
      <c r="F3" s="5">
        <v>46082</v>
      </c>
      <c r="G3" s="5">
        <v>46265</v>
      </c>
      <c r="H3" s="6">
        <f>H5*1.15</f>
        <v>84.041999999999987</v>
      </c>
      <c r="I3" s="6">
        <f t="shared" si="0"/>
        <v>92.44619999999999</v>
      </c>
      <c r="J3" s="6">
        <f t="shared" si="1"/>
        <v>126.06299999999999</v>
      </c>
      <c r="K3" s="6">
        <f t="shared" si="2"/>
        <v>50.42519999999999</v>
      </c>
      <c r="L3" s="6">
        <f t="shared" si="3"/>
        <v>55.467719999999993</v>
      </c>
      <c r="M3" s="6">
        <f t="shared" si="4"/>
        <v>75.637799999999984</v>
      </c>
      <c r="N3" s="6">
        <v>14</v>
      </c>
      <c r="O3" s="6">
        <v>13.95</v>
      </c>
      <c r="P3" s="6">
        <v>9.5500000000000007</v>
      </c>
      <c r="Q3" s="6">
        <v>0.25</v>
      </c>
      <c r="R3" s="6">
        <v>2.17</v>
      </c>
      <c r="S3" s="6">
        <v>2.2000000000000002</v>
      </c>
      <c r="T3" s="6">
        <v>0.3</v>
      </c>
      <c r="U3" s="7">
        <v>0.93</v>
      </c>
      <c r="V3" s="7">
        <v>0.15</v>
      </c>
      <c r="W3" s="8">
        <v>0.02</v>
      </c>
      <c r="X3" s="7">
        <v>0</v>
      </c>
      <c r="Y3" s="7">
        <v>1</v>
      </c>
      <c r="Z3" s="7">
        <v>2</v>
      </c>
      <c r="AA3" s="7">
        <v>3</v>
      </c>
      <c r="AB3" s="7">
        <v>4</v>
      </c>
      <c r="AC3" s="7">
        <v>5</v>
      </c>
      <c r="AD3" s="8">
        <v>0.09</v>
      </c>
      <c r="AE3" s="8">
        <v>0.05</v>
      </c>
    </row>
    <row r="4" spans="1:31" x14ac:dyDescent="0.2">
      <c r="A4" s="1" t="s">
        <v>26</v>
      </c>
      <c r="B4" s="1" t="s">
        <v>43</v>
      </c>
      <c r="C4" s="1">
        <v>537</v>
      </c>
      <c r="D4" s="1" t="s">
        <v>27</v>
      </c>
      <c r="E4" s="1" t="s">
        <v>30</v>
      </c>
      <c r="F4" s="5">
        <v>46082</v>
      </c>
      <c r="G4" s="5">
        <v>46265</v>
      </c>
      <c r="H4" s="1">
        <f>H5*1.1</f>
        <v>80.388000000000005</v>
      </c>
      <c r="I4" s="6">
        <f t="shared" si="0"/>
        <v>88.426800000000014</v>
      </c>
      <c r="J4" s="6">
        <f t="shared" si="1"/>
        <v>120.58200000000001</v>
      </c>
      <c r="K4" s="6">
        <f t="shared" si="2"/>
        <v>48.232800000000005</v>
      </c>
      <c r="L4" s="6">
        <f t="shared" si="3"/>
        <v>53.056080000000009</v>
      </c>
      <c r="M4" s="6">
        <f t="shared" si="4"/>
        <v>72.34920000000001</v>
      </c>
      <c r="N4" s="6">
        <v>14</v>
      </c>
      <c r="O4" s="6">
        <v>13.95</v>
      </c>
      <c r="P4" s="6">
        <v>9.5500000000000007</v>
      </c>
      <c r="Q4" s="6">
        <v>0.25</v>
      </c>
      <c r="R4" s="6">
        <v>2.17</v>
      </c>
      <c r="S4" s="6">
        <v>2.2000000000000002</v>
      </c>
      <c r="T4" s="6">
        <v>0.3</v>
      </c>
      <c r="U4" s="7">
        <v>0.93</v>
      </c>
      <c r="V4" s="7">
        <v>0.15</v>
      </c>
      <c r="W4" s="8">
        <v>0.02</v>
      </c>
      <c r="X4" s="7">
        <v>0</v>
      </c>
      <c r="Y4" s="7">
        <v>1</v>
      </c>
      <c r="Z4" s="7">
        <v>2</v>
      </c>
      <c r="AA4" s="7">
        <v>3</v>
      </c>
      <c r="AB4" s="7">
        <v>4</v>
      </c>
      <c r="AC4" s="7">
        <v>5</v>
      </c>
      <c r="AD4" s="8">
        <v>0.09</v>
      </c>
      <c r="AE4" s="8">
        <v>0.05</v>
      </c>
    </row>
    <row r="5" spans="1:31" x14ac:dyDescent="0.2">
      <c r="A5" s="1" t="s">
        <v>26</v>
      </c>
      <c r="B5" s="1" t="s">
        <v>43</v>
      </c>
      <c r="C5" s="1">
        <v>537</v>
      </c>
      <c r="D5" s="1" t="s">
        <v>31</v>
      </c>
      <c r="E5" s="1" t="s">
        <v>30</v>
      </c>
      <c r="F5" s="5">
        <v>46082</v>
      </c>
      <c r="G5" s="5">
        <v>46265</v>
      </c>
      <c r="H5" s="6">
        <f>H6+2.5</f>
        <v>73.08</v>
      </c>
      <c r="I5" s="6">
        <f t="shared" si="0"/>
        <v>80.388000000000005</v>
      </c>
      <c r="J5" s="6">
        <f t="shared" si="1"/>
        <v>109.62</v>
      </c>
      <c r="K5" s="6">
        <f t="shared" si="2"/>
        <v>43.847999999999999</v>
      </c>
      <c r="L5" s="6">
        <f t="shared" si="3"/>
        <v>48.232800000000005</v>
      </c>
      <c r="M5" s="6">
        <f t="shared" si="4"/>
        <v>65.771999999999991</v>
      </c>
      <c r="N5" s="6">
        <v>14</v>
      </c>
      <c r="O5" s="6">
        <v>13.95</v>
      </c>
      <c r="P5" s="6">
        <v>9.5500000000000007</v>
      </c>
      <c r="Q5" s="6">
        <v>0.25</v>
      </c>
      <c r="R5" s="6">
        <v>2.17</v>
      </c>
      <c r="S5" s="6">
        <v>2.2000000000000002</v>
      </c>
      <c r="T5" s="6">
        <v>0.3</v>
      </c>
      <c r="U5" s="7">
        <v>0.93</v>
      </c>
      <c r="V5" s="7">
        <v>0.15</v>
      </c>
      <c r="W5" s="8">
        <v>0.02</v>
      </c>
      <c r="X5" s="7">
        <v>0</v>
      </c>
      <c r="Y5" s="7">
        <v>1</v>
      </c>
      <c r="Z5" s="7">
        <v>2</v>
      </c>
      <c r="AA5" s="7">
        <v>3</v>
      </c>
      <c r="AB5" s="7">
        <v>4</v>
      </c>
      <c r="AC5" s="7">
        <v>5</v>
      </c>
      <c r="AD5" s="8">
        <v>0.09</v>
      </c>
      <c r="AE5" s="8">
        <v>0.05</v>
      </c>
    </row>
    <row r="6" spans="1:31" x14ac:dyDescent="0.2">
      <c r="A6" s="1" t="s">
        <v>26</v>
      </c>
      <c r="B6" s="1" t="s">
        <v>43</v>
      </c>
      <c r="C6" s="1">
        <v>537</v>
      </c>
      <c r="D6" s="1" t="s">
        <v>31</v>
      </c>
      <c r="E6" s="1" t="s">
        <v>32</v>
      </c>
      <c r="F6" s="5">
        <v>46082</v>
      </c>
      <c r="G6" s="5">
        <v>46265</v>
      </c>
      <c r="H6" s="6">
        <v>70.58</v>
      </c>
      <c r="I6" s="6">
        <f t="shared" si="0"/>
        <v>77.638000000000005</v>
      </c>
      <c r="J6" s="6">
        <f t="shared" si="1"/>
        <v>105.87</v>
      </c>
      <c r="K6" s="6">
        <f t="shared" si="2"/>
        <v>42.347999999999999</v>
      </c>
      <c r="L6" s="6">
        <f t="shared" si="3"/>
        <v>46.582800000000006</v>
      </c>
      <c r="M6" s="6">
        <f t="shared" si="4"/>
        <v>63.521999999999998</v>
      </c>
      <c r="N6" s="6">
        <v>14</v>
      </c>
      <c r="O6" s="6">
        <v>13.95</v>
      </c>
      <c r="P6" s="6">
        <v>9.5500000000000007</v>
      </c>
      <c r="Q6" s="6">
        <v>0.25</v>
      </c>
      <c r="R6" s="6">
        <v>2.17</v>
      </c>
      <c r="S6" s="6">
        <v>2.2000000000000002</v>
      </c>
      <c r="T6" s="6">
        <v>0.3</v>
      </c>
      <c r="U6" s="7">
        <v>0.93</v>
      </c>
      <c r="V6" s="7">
        <v>0.15</v>
      </c>
      <c r="W6" s="8">
        <v>0.02</v>
      </c>
      <c r="X6" s="7">
        <v>0</v>
      </c>
      <c r="Y6" s="7">
        <v>1</v>
      </c>
      <c r="Z6" s="7">
        <v>2</v>
      </c>
      <c r="AA6" s="7">
        <v>3</v>
      </c>
      <c r="AB6" s="7">
        <v>4</v>
      </c>
      <c r="AC6" s="7">
        <v>5</v>
      </c>
      <c r="AD6" s="8">
        <v>0.09</v>
      </c>
      <c r="AE6" s="8">
        <v>0.05</v>
      </c>
    </row>
    <row r="7" spans="1:31" x14ac:dyDescent="0.2">
      <c r="A7" s="1" t="s">
        <v>26</v>
      </c>
      <c r="B7" s="1" t="s">
        <v>43</v>
      </c>
      <c r="C7" s="1">
        <v>537</v>
      </c>
      <c r="D7" s="1" t="s">
        <v>31</v>
      </c>
      <c r="E7" s="1" t="s">
        <v>33</v>
      </c>
      <c r="F7" s="5">
        <v>46082</v>
      </c>
      <c r="G7" s="5">
        <v>46265</v>
      </c>
      <c r="H7" s="6">
        <v>56.46</v>
      </c>
      <c r="I7" s="6">
        <f t="shared" si="0"/>
        <v>62.106000000000009</v>
      </c>
      <c r="J7" s="6">
        <f t="shared" si="1"/>
        <v>84.69</v>
      </c>
      <c r="K7" s="6">
        <f t="shared" si="2"/>
        <v>33.875999999999998</v>
      </c>
      <c r="L7" s="6">
        <f t="shared" si="3"/>
        <v>37.263600000000004</v>
      </c>
      <c r="M7" s="6">
        <f t="shared" si="4"/>
        <v>50.813999999999993</v>
      </c>
      <c r="N7" s="6">
        <v>14</v>
      </c>
      <c r="O7" s="6">
        <v>13.95</v>
      </c>
      <c r="P7" s="6">
        <v>9.5500000000000007</v>
      </c>
      <c r="Q7" s="6">
        <v>0.25</v>
      </c>
      <c r="R7" s="6">
        <v>2.17</v>
      </c>
      <c r="S7" s="6">
        <v>2.2000000000000002</v>
      </c>
      <c r="T7" s="6">
        <v>0.3</v>
      </c>
      <c r="U7" s="7">
        <v>0.93</v>
      </c>
      <c r="V7" s="7">
        <v>0.15</v>
      </c>
      <c r="W7" s="8">
        <v>0.02</v>
      </c>
      <c r="X7" s="7">
        <v>0</v>
      </c>
      <c r="Y7" s="7">
        <v>1</v>
      </c>
      <c r="Z7" s="7">
        <v>2</v>
      </c>
      <c r="AA7" s="7">
        <v>3</v>
      </c>
      <c r="AB7" s="7">
        <v>4</v>
      </c>
      <c r="AC7" s="7">
        <v>5</v>
      </c>
      <c r="AD7" s="8">
        <v>0.09</v>
      </c>
      <c r="AE7" s="8">
        <v>0.05</v>
      </c>
    </row>
    <row r="8" spans="1:31" x14ac:dyDescent="0.2">
      <c r="A8" s="1" t="s">
        <v>26</v>
      </c>
      <c r="B8" s="1" t="s">
        <v>43</v>
      </c>
      <c r="C8" s="1">
        <v>537</v>
      </c>
      <c r="D8" s="1" t="s">
        <v>31</v>
      </c>
      <c r="E8" s="1" t="s">
        <v>34</v>
      </c>
      <c r="F8" s="5">
        <v>46082</v>
      </c>
      <c r="G8" s="5">
        <v>46265</v>
      </c>
      <c r="H8" s="6">
        <v>49.41</v>
      </c>
      <c r="I8" s="6">
        <f t="shared" si="0"/>
        <v>54.350999999999999</v>
      </c>
      <c r="J8" s="6">
        <f t="shared" si="1"/>
        <v>74.114999999999995</v>
      </c>
      <c r="K8" s="6">
        <f t="shared" si="2"/>
        <v>29.645999999999997</v>
      </c>
      <c r="L8" s="6">
        <f t="shared" si="3"/>
        <v>32.610599999999998</v>
      </c>
      <c r="M8" s="6">
        <f t="shared" si="4"/>
        <v>44.468999999999994</v>
      </c>
      <c r="N8" s="6">
        <v>14</v>
      </c>
      <c r="O8" s="6">
        <v>13.95</v>
      </c>
      <c r="P8" s="6">
        <v>9.5500000000000007</v>
      </c>
      <c r="Q8" s="6">
        <v>0.25</v>
      </c>
      <c r="R8" s="6">
        <v>2.17</v>
      </c>
      <c r="S8" s="6">
        <v>2.2000000000000002</v>
      </c>
      <c r="T8" s="6">
        <v>0.3</v>
      </c>
      <c r="U8" s="7">
        <v>0.93</v>
      </c>
      <c r="V8" s="7">
        <v>0.15</v>
      </c>
      <c r="W8" s="8">
        <v>0.02</v>
      </c>
      <c r="X8" s="7">
        <v>0</v>
      </c>
      <c r="Y8" s="7">
        <v>1</v>
      </c>
      <c r="Z8" s="7">
        <v>2</v>
      </c>
      <c r="AA8" s="7">
        <v>3</v>
      </c>
      <c r="AB8" s="7">
        <v>4</v>
      </c>
      <c r="AC8" s="7">
        <v>5</v>
      </c>
      <c r="AD8" s="8">
        <v>0.09</v>
      </c>
      <c r="AE8" s="8">
        <v>0.05</v>
      </c>
    </row>
    <row r="9" spans="1:31" x14ac:dyDescent="0.2">
      <c r="A9" s="1" t="s">
        <v>26</v>
      </c>
      <c r="B9" s="1" t="s">
        <v>43</v>
      </c>
      <c r="C9" s="1">
        <v>537</v>
      </c>
      <c r="D9" s="1" t="s">
        <v>31</v>
      </c>
      <c r="E9" s="1" t="s">
        <v>35</v>
      </c>
      <c r="F9" s="5">
        <v>46082</v>
      </c>
      <c r="G9" s="5">
        <v>46265</v>
      </c>
      <c r="H9" s="6">
        <v>42.35</v>
      </c>
      <c r="I9" s="6">
        <f t="shared" si="0"/>
        <v>46.585000000000008</v>
      </c>
      <c r="J9" s="6">
        <f t="shared" si="1"/>
        <v>63.525000000000006</v>
      </c>
      <c r="K9" s="6">
        <f t="shared" si="2"/>
        <v>25.41</v>
      </c>
      <c r="L9" s="6">
        <f t="shared" si="3"/>
        <v>27.951000000000004</v>
      </c>
      <c r="M9" s="6">
        <f t="shared" si="4"/>
        <v>38.115000000000002</v>
      </c>
      <c r="N9" s="6">
        <v>14</v>
      </c>
      <c r="O9" s="6">
        <v>13.95</v>
      </c>
      <c r="P9" s="6">
        <v>9.5500000000000007</v>
      </c>
      <c r="Q9" s="6">
        <v>0.25</v>
      </c>
      <c r="R9" s="6">
        <v>2.17</v>
      </c>
      <c r="S9" s="6">
        <v>2.2000000000000002</v>
      </c>
      <c r="T9" s="6">
        <v>0.3</v>
      </c>
      <c r="U9" s="7">
        <v>0.93</v>
      </c>
      <c r="V9" s="7">
        <v>0.15</v>
      </c>
      <c r="W9" s="8">
        <v>0.02</v>
      </c>
      <c r="X9" s="7">
        <v>0</v>
      </c>
      <c r="Y9" s="7">
        <v>1</v>
      </c>
      <c r="Z9" s="7">
        <v>2</v>
      </c>
      <c r="AA9" s="7">
        <v>3</v>
      </c>
      <c r="AB9" s="7">
        <v>4</v>
      </c>
      <c r="AC9" s="7">
        <v>5</v>
      </c>
      <c r="AD9" s="8">
        <v>0.09</v>
      </c>
      <c r="AE9" s="8">
        <v>0.05</v>
      </c>
    </row>
    <row r="10" spans="1:31" x14ac:dyDescent="0.2">
      <c r="A10" s="1" t="s">
        <v>26</v>
      </c>
      <c r="B10" s="1" t="s">
        <v>43</v>
      </c>
      <c r="C10" s="1">
        <v>537</v>
      </c>
      <c r="D10" s="1" t="s">
        <v>31</v>
      </c>
      <c r="E10" s="1" t="s">
        <v>36</v>
      </c>
      <c r="F10" s="5">
        <v>46082</v>
      </c>
      <c r="G10" s="5">
        <v>46265</v>
      </c>
      <c r="H10" s="6">
        <v>31.76</v>
      </c>
      <c r="I10" s="6">
        <f t="shared" si="0"/>
        <v>34.936000000000007</v>
      </c>
      <c r="J10" s="6">
        <f t="shared" si="1"/>
        <v>47.64</v>
      </c>
      <c r="K10" s="6">
        <f t="shared" si="2"/>
        <v>19.056000000000001</v>
      </c>
      <c r="L10" s="6">
        <f t="shared" si="3"/>
        <v>20.961600000000004</v>
      </c>
      <c r="M10" s="6">
        <f t="shared" si="4"/>
        <v>28.584000000000003</v>
      </c>
      <c r="N10" s="6">
        <v>14</v>
      </c>
      <c r="O10" s="6">
        <v>13.95</v>
      </c>
      <c r="P10" s="6">
        <v>9.5500000000000007</v>
      </c>
      <c r="Q10" s="6">
        <v>0.25</v>
      </c>
      <c r="R10" s="6">
        <v>2.17</v>
      </c>
      <c r="S10" s="6">
        <v>2.2000000000000002</v>
      </c>
      <c r="T10" s="6">
        <v>0.3</v>
      </c>
      <c r="U10" s="7">
        <v>0.93</v>
      </c>
      <c r="V10" s="7">
        <v>0.15</v>
      </c>
      <c r="W10" s="8">
        <v>0.02</v>
      </c>
      <c r="X10" s="7">
        <v>0</v>
      </c>
      <c r="Y10" s="7">
        <v>1</v>
      </c>
      <c r="Z10" s="7">
        <v>2</v>
      </c>
      <c r="AA10" s="7">
        <v>3</v>
      </c>
      <c r="AB10" s="7">
        <v>4</v>
      </c>
      <c r="AC10" s="7">
        <v>5</v>
      </c>
      <c r="AD10" s="8">
        <v>0.09</v>
      </c>
      <c r="AE10" s="8">
        <v>0.05</v>
      </c>
    </row>
    <row r="11" spans="1:31" x14ac:dyDescent="0.2">
      <c r="A11" s="1" t="s">
        <v>26</v>
      </c>
      <c r="B11" s="1" t="s">
        <v>43</v>
      </c>
      <c r="C11" s="1">
        <v>537</v>
      </c>
      <c r="D11" s="1" t="s">
        <v>31</v>
      </c>
      <c r="E11" s="1" t="s">
        <v>37</v>
      </c>
      <c r="F11" s="5">
        <v>46082</v>
      </c>
      <c r="G11" s="5">
        <v>46265</v>
      </c>
      <c r="H11" s="6">
        <v>28.23</v>
      </c>
      <c r="I11" s="6">
        <f t="shared" si="0"/>
        <v>31.053000000000004</v>
      </c>
      <c r="J11" s="6">
        <f t="shared" si="1"/>
        <v>42.344999999999999</v>
      </c>
      <c r="K11" s="6">
        <f t="shared" si="2"/>
        <v>16.937999999999999</v>
      </c>
      <c r="L11" s="6">
        <f t="shared" si="3"/>
        <v>18.631800000000002</v>
      </c>
      <c r="M11" s="6">
        <f t="shared" si="4"/>
        <v>25.406999999999996</v>
      </c>
      <c r="N11" s="6">
        <v>0</v>
      </c>
      <c r="O11" s="6">
        <v>13.95</v>
      </c>
      <c r="P11" s="6">
        <v>0</v>
      </c>
      <c r="Q11" s="6">
        <v>0.25</v>
      </c>
      <c r="R11" s="6">
        <v>2.17</v>
      </c>
      <c r="S11" s="6">
        <v>2.2000000000000002</v>
      </c>
      <c r="T11" s="6">
        <v>0.3</v>
      </c>
      <c r="U11" s="7">
        <v>0.93</v>
      </c>
      <c r="V11" s="7">
        <v>0.15</v>
      </c>
      <c r="W11" s="8">
        <v>0.02</v>
      </c>
      <c r="X11" s="7">
        <v>0</v>
      </c>
      <c r="Y11" s="7">
        <v>1</v>
      </c>
      <c r="Z11" s="7">
        <v>2</v>
      </c>
      <c r="AA11" s="7">
        <v>3</v>
      </c>
      <c r="AB11" s="7">
        <v>4</v>
      </c>
      <c r="AC11" s="7">
        <v>5</v>
      </c>
      <c r="AD11" s="8">
        <v>0.09</v>
      </c>
      <c r="AE11" s="8">
        <v>0.05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2026.03.01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Phillip</dc:creator>
  <dc:description/>
  <cp:lastModifiedBy>Dann Ciembor</cp:lastModifiedBy>
  <cp:revision>0</cp:revision>
  <dcterms:created xsi:type="dcterms:W3CDTF">2023-03-22T14:58:29Z</dcterms:created>
  <dcterms:modified xsi:type="dcterms:W3CDTF">2026-03-24T16:43:52Z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