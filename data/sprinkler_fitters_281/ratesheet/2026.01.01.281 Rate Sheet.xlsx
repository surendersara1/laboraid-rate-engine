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nciembor/Zoho WorkDrive (Labor Aid)/General/Rate Sheets/Sprinkler/281/"/>
    </mc:Choice>
  </mc:AlternateContent>
  <xr:revisionPtr revIDLastSave="0" documentId="13_ncr:1_{8313E520-D21A-1742-9CBF-0174B6448F10}" xr6:coauthVersionLast="47" xr6:coauthVersionMax="47" xr10:uidLastSave="{00000000-0000-0000-0000-000000000000}"/>
  <bookViews>
    <workbookView xWindow="0" yWindow="620" windowWidth="29040" windowHeight="15720" xr2:uid="{26DF15C9-D1FC-4500-BFAC-92E8DE36F31C}"/>
  </bookViews>
  <sheets>
    <sheet name="2026.01.01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9" i="10" l="1"/>
  <c r="L19" i="10"/>
  <c r="K19" i="10"/>
  <c r="M18" i="10"/>
  <c r="L18" i="10"/>
  <c r="K18" i="10"/>
  <c r="M17" i="10"/>
  <c r="L17" i="10"/>
  <c r="K17" i="10"/>
  <c r="M16" i="10"/>
  <c r="L16" i="10"/>
  <c r="K16" i="10"/>
  <c r="M15" i="10"/>
  <c r="L15" i="10"/>
  <c r="K15" i="10"/>
  <c r="M14" i="10"/>
  <c r="L14" i="10"/>
  <c r="K14" i="10"/>
  <c r="M13" i="10"/>
  <c r="L13" i="10"/>
  <c r="K13" i="10"/>
  <c r="M12" i="10"/>
  <c r="L12" i="10"/>
  <c r="K12" i="10"/>
  <c r="M11" i="10"/>
  <c r="L11" i="10"/>
  <c r="K11" i="10"/>
  <c r="M10" i="10"/>
  <c r="L10" i="10"/>
  <c r="K10" i="10"/>
  <c r="M9" i="10"/>
  <c r="L9" i="10"/>
  <c r="K9" i="10"/>
  <c r="M8" i="10"/>
  <c r="L8" i="10"/>
  <c r="K8" i="10"/>
  <c r="M7" i="10"/>
  <c r="L7" i="10"/>
  <c r="M6" i="10"/>
  <c r="L6" i="10"/>
  <c r="M5" i="10"/>
  <c r="L5" i="10"/>
</calcChain>
</file>

<file path=xl/sharedStrings.xml><?xml version="1.0" encoding="utf-8"?>
<sst xmlns="http://schemas.openxmlformats.org/spreadsheetml/2006/main" count="94" uniqueCount="38">
  <si>
    <t>Trade</t>
  </si>
  <si>
    <t>Union Local</t>
  </si>
  <si>
    <t>Zone</t>
  </si>
  <si>
    <t>Package</t>
  </si>
  <si>
    <t>Start Date</t>
  </si>
  <si>
    <t>End Date</t>
  </si>
  <si>
    <t>Wage</t>
  </si>
  <si>
    <t>Pension</t>
  </si>
  <si>
    <t>SIS</t>
  </si>
  <si>
    <t>Apprenticeship Training</t>
  </si>
  <si>
    <t>UA</t>
  </si>
  <si>
    <t>Sprinkler</t>
  </si>
  <si>
    <t>Foreman</t>
  </si>
  <si>
    <t>Journeyman</t>
  </si>
  <si>
    <t>Union Group</t>
  </si>
  <si>
    <t>Building</t>
  </si>
  <si>
    <t>Indentured Date is Before</t>
  </si>
  <si>
    <t>Indentured Date is After</t>
  </si>
  <si>
    <t>General Foreman</t>
  </si>
  <si>
    <t>Apprentice Year 5</t>
  </si>
  <si>
    <t>Apprentice Year 4</t>
  </si>
  <si>
    <t>Apprentice Year 3</t>
  </si>
  <si>
    <t>Apprentice Year 2-B</t>
  </si>
  <si>
    <t>Apprentice Year 2-A</t>
  </si>
  <si>
    <t>Apprentice Year 1</t>
  </si>
  <si>
    <t>LMCC 281</t>
  </si>
  <si>
    <t>Wage Differential</t>
  </si>
  <si>
    <t>Wage 1.5x</t>
  </si>
  <si>
    <t>Wage 2.0x</t>
  </si>
  <si>
    <t>Union Dues 281</t>
  </si>
  <si>
    <t>UA International Training</t>
  </si>
  <si>
    <t>Union Protection 281</t>
  </si>
  <si>
    <t>Industry Promotion Local Use</t>
  </si>
  <si>
    <t>Office</t>
  </si>
  <si>
    <t>Office Employee</t>
  </si>
  <si>
    <t>Office Employee SIS 4.75</t>
  </si>
  <si>
    <t>Owner Pension &amp; SIS</t>
  </si>
  <si>
    <t>Health &amp; Welfare 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</si>
</sst>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left"/>
    </xf>
    <xf numFmtId="14" fontId="2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/>
    </xf>
    <xf numFmtId="2" fontId="2" fillId="2" borderId="0" xfId="0" applyNumberFormat="1" applyFont="1" applyFill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10" fontId="2" fillId="2" borderId="0" xfId="1" applyNumberFormat="1" applyFon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8A7C-9E94-0F43-B3AA-90267A57F9A6}">
  <dimension ref="A1:V19"/>
  <sheetViews>
    <sheetView tabSelected="1" workbookViewId="0">
      <selection activeCell="J19" sqref="J19"/>
    </sheetView>
  </sheetViews>
  <sheetFormatPr baseColWidth="10" defaultColWidth="11.5" defaultRowHeight="15" x14ac:dyDescent="0.2"/>
  <cols>
    <col min="1" max="1" width="12.6640625" bestFit="1" customWidth="1"/>
    <col min="2" max="2" width="8.33203125" bestFit="1" customWidth="1"/>
    <col min="3" max="3" width="11.83203125" bestFit="1" customWidth="1"/>
    <col min="4" max="4" width="7.33203125" bestFit="1" customWidth="1"/>
    <col min="5" max="5" width="24" bestFit="1" customWidth="1"/>
    <col min="6" max="6" width="22.5" bestFit="1" customWidth="1"/>
    <col min="7" max="7" width="25.33203125" bestFit="1" customWidth="1"/>
    <col min="8" max="8" width="11.1640625" bestFit="1" customWidth="1"/>
    <col min="9" max="9" width="11.33203125" bestFit="1" customWidth="1"/>
    <col min="10" max="10" width="6" bestFit="1" customWidth="1"/>
    <col min="11" max="11" width="16.33203125" bestFit="1" customWidth="1"/>
    <col min="12" max="13" width="11.1640625" bestFit="1" customWidth="1"/>
    <col min="14" max="14" width="22.5" bestFit="1" customWidth="1"/>
    <col min="15" max="15" width="8.33203125" bestFit="1" customWidth="1"/>
    <col min="16" max="16" width="6.1640625" bestFit="1" customWidth="1"/>
    <col min="17" max="17" width="23.6640625" bestFit="1" customWidth="1"/>
    <col min="18" max="18" width="22.83203125" bestFit="1" customWidth="1"/>
    <col min="19" max="19" width="28" bestFit="1" customWidth="1"/>
    <col min="20" max="20" width="10" bestFit="1" customWidth="1"/>
    <col min="21" max="21" width="15" bestFit="1" customWidth="1"/>
    <col min="22" max="22" width="19.83203125" bestFit="1" customWidth="1"/>
  </cols>
  <sheetData>
    <row r="1" spans="1:22" s="2" customFormat="1" ht="14" x14ac:dyDescent="0.15">
      <c r="A1" s="2" t="s">
        <v>14</v>
      </c>
      <c r="B1" s="2" t="s">
        <v>0</v>
      </c>
      <c r="C1" s="2" t="s">
        <v>1</v>
      </c>
      <c r="D1" s="2" t="s">
        <v>2</v>
      </c>
      <c r="E1" s="2" t="s">
        <v>16</v>
      </c>
      <c r="F1" s="2" t="s">
        <v>17</v>
      </c>
      <c r="G1" s="2" t="s">
        <v>3</v>
      </c>
      <c r="H1" s="2" t="s">
        <v>4</v>
      </c>
      <c r="I1" s="2" t="s">
        <v>5</v>
      </c>
      <c r="J1" s="3" t="s">
        <v>6</v>
      </c>
      <c r="K1" s="3" t="s">
        <v>26</v>
      </c>
      <c r="L1" s="3" t="s">
        <v>27</v>
      </c>
      <c r="M1" s="3" t="s">
        <v>28</v>
      </c>
      <c r="N1" s="3" t="s">
        <v>37</v>
      </c>
      <c r="O1" s="3" t="s">
        <v>7</v>
      </c>
      <c r="P1" s="3" t="s">
        <v>8</v>
      </c>
      <c r="Q1" s="3" t="s">
        <v>30</v>
      </c>
      <c r="R1" s="3" t="s">
        <v>9</v>
      </c>
      <c r="S1" s="2" t="s">
        <v>32</v>
      </c>
      <c r="T1" s="3" t="s">
        <v>25</v>
      </c>
      <c r="U1" s="4" t="s">
        <v>29</v>
      </c>
      <c r="V1" s="4" t="s">
        <v>31</v>
      </c>
    </row>
    <row r="2" spans="1:22" s="1" customFormat="1" ht="14" x14ac:dyDescent="0.15">
      <c r="A2" s="1" t="s">
        <v>10</v>
      </c>
      <c r="B2" s="1" t="s">
        <v>11</v>
      </c>
      <c r="C2" s="1">
        <v>281</v>
      </c>
      <c r="D2" s="1" t="s">
        <v>33</v>
      </c>
      <c r="G2" s="1" t="s">
        <v>34</v>
      </c>
      <c r="H2" s="5">
        <v>46023</v>
      </c>
      <c r="I2" s="5">
        <v>46387</v>
      </c>
      <c r="J2" s="10"/>
      <c r="K2" s="10"/>
      <c r="L2" s="10"/>
      <c r="M2" s="10"/>
      <c r="N2" s="10">
        <v>0</v>
      </c>
      <c r="O2" s="10">
        <v>7.45</v>
      </c>
      <c r="P2" s="10">
        <v>3.25</v>
      </c>
      <c r="Q2" s="10">
        <v>0</v>
      </c>
      <c r="R2" s="10">
        <v>0</v>
      </c>
      <c r="S2" s="10">
        <v>0</v>
      </c>
      <c r="T2" s="10">
        <v>0</v>
      </c>
      <c r="U2" s="11"/>
      <c r="V2" s="11"/>
    </row>
    <row r="3" spans="1:22" s="1" customFormat="1" ht="14" x14ac:dyDescent="0.15">
      <c r="A3" s="1" t="s">
        <v>10</v>
      </c>
      <c r="B3" s="1" t="s">
        <v>11</v>
      </c>
      <c r="C3" s="1">
        <v>281</v>
      </c>
      <c r="D3" s="1" t="s">
        <v>33</v>
      </c>
      <c r="G3" s="1" t="s">
        <v>35</v>
      </c>
      <c r="H3" s="5">
        <v>46023</v>
      </c>
      <c r="I3" s="5">
        <v>46387</v>
      </c>
      <c r="J3" s="10"/>
      <c r="K3" s="10"/>
      <c r="L3" s="10"/>
      <c r="M3" s="10"/>
      <c r="N3" s="10">
        <v>0</v>
      </c>
      <c r="O3" s="10">
        <v>7.45</v>
      </c>
      <c r="P3" s="10">
        <v>4.75</v>
      </c>
      <c r="Q3" s="10">
        <v>0</v>
      </c>
      <c r="R3" s="10">
        <v>0</v>
      </c>
      <c r="S3" s="10">
        <v>0</v>
      </c>
      <c r="T3" s="10">
        <v>0</v>
      </c>
      <c r="U3" s="11"/>
      <c r="V3" s="11"/>
    </row>
    <row r="4" spans="1:22" s="1" customFormat="1" ht="14" x14ac:dyDescent="0.15">
      <c r="A4" s="1" t="s">
        <v>10</v>
      </c>
      <c r="B4" s="1" t="s">
        <v>11</v>
      </c>
      <c r="C4" s="1">
        <v>281</v>
      </c>
      <c r="D4" s="1" t="s">
        <v>33</v>
      </c>
      <c r="G4" s="1" t="s">
        <v>36</v>
      </c>
      <c r="H4" s="5">
        <v>46023</v>
      </c>
      <c r="I4" s="5">
        <v>46387</v>
      </c>
      <c r="J4" s="10"/>
      <c r="K4" s="10"/>
      <c r="L4" s="10"/>
      <c r="M4" s="10"/>
      <c r="N4" s="10">
        <v>0</v>
      </c>
      <c r="O4" s="10">
        <v>7.45</v>
      </c>
      <c r="P4" s="10">
        <v>12</v>
      </c>
      <c r="Q4" s="10">
        <v>0</v>
      </c>
      <c r="R4" s="10">
        <v>0</v>
      </c>
      <c r="S4" s="10">
        <v>0</v>
      </c>
      <c r="T4" s="10">
        <v>0</v>
      </c>
      <c r="U4" s="11"/>
      <c r="V4" s="11"/>
    </row>
    <row r="5" spans="1:22" s="1" customFormat="1" ht="14" x14ac:dyDescent="0.15">
      <c r="A5" s="1" t="s">
        <v>10</v>
      </c>
      <c r="B5" s="1" t="s">
        <v>11</v>
      </c>
      <c r="C5" s="1">
        <v>281</v>
      </c>
      <c r="D5" s="1" t="s">
        <v>15</v>
      </c>
      <c r="E5" s="5"/>
      <c r="F5" s="5"/>
      <c r="G5" s="1" t="s">
        <v>18</v>
      </c>
      <c r="H5" s="5">
        <v>46023</v>
      </c>
      <c r="I5" s="6">
        <v>46203</v>
      </c>
      <c r="J5" s="8">
        <v>66.2</v>
      </c>
      <c r="K5" s="8">
        <v>76.150000000000006</v>
      </c>
      <c r="L5" s="8">
        <f>SUM(J5*1.5)</f>
        <v>99.300000000000011</v>
      </c>
      <c r="M5" s="8">
        <f>SUM(J5*2)</f>
        <v>132.4</v>
      </c>
      <c r="N5" s="7">
        <v>15.45</v>
      </c>
      <c r="O5" s="7">
        <v>7.45</v>
      </c>
      <c r="P5" s="7">
        <v>12.5</v>
      </c>
      <c r="Q5" s="7">
        <v>0.1</v>
      </c>
      <c r="R5" s="7">
        <v>1.05</v>
      </c>
      <c r="S5" s="8">
        <v>0.7</v>
      </c>
      <c r="T5" s="7">
        <v>0.05</v>
      </c>
      <c r="U5" s="12">
        <v>0.03</v>
      </c>
      <c r="V5" s="9">
        <v>4.54</v>
      </c>
    </row>
    <row r="6" spans="1:22" s="1" customFormat="1" ht="14" x14ac:dyDescent="0.15">
      <c r="A6" s="1" t="s">
        <v>10</v>
      </c>
      <c r="B6" s="1" t="s">
        <v>11</v>
      </c>
      <c r="C6" s="1">
        <v>281</v>
      </c>
      <c r="D6" s="1" t="s">
        <v>15</v>
      </c>
      <c r="E6" s="5"/>
      <c r="F6" s="5"/>
      <c r="G6" s="1" t="s">
        <v>12</v>
      </c>
      <c r="H6" s="5">
        <v>46023</v>
      </c>
      <c r="I6" s="6">
        <v>46203</v>
      </c>
      <c r="J6" s="7">
        <v>65.95</v>
      </c>
      <c r="K6" s="8">
        <v>75.849999999999994</v>
      </c>
      <c r="L6" s="8">
        <f t="shared" ref="L6:L19" si="0">SUM(J6*1.5)</f>
        <v>98.925000000000011</v>
      </c>
      <c r="M6" s="8">
        <f t="shared" ref="M6:M19" si="1">SUM(J6*2)</f>
        <v>131.9</v>
      </c>
      <c r="N6" s="7">
        <v>15.45</v>
      </c>
      <c r="O6" s="7">
        <v>7.45</v>
      </c>
      <c r="P6" s="7">
        <v>12.5</v>
      </c>
      <c r="Q6" s="7">
        <v>0.1</v>
      </c>
      <c r="R6" s="7">
        <v>1.05</v>
      </c>
      <c r="S6" s="8">
        <v>0.7</v>
      </c>
      <c r="T6" s="7">
        <v>0.05</v>
      </c>
      <c r="U6" s="12">
        <v>0.03</v>
      </c>
      <c r="V6" s="9">
        <v>4.54</v>
      </c>
    </row>
    <row r="7" spans="1:22" s="1" customFormat="1" ht="14" x14ac:dyDescent="0.15">
      <c r="A7" s="1" t="s">
        <v>10</v>
      </c>
      <c r="B7" s="1" t="s">
        <v>11</v>
      </c>
      <c r="C7" s="1">
        <v>281</v>
      </c>
      <c r="D7" s="1" t="s">
        <v>15</v>
      </c>
      <c r="E7" s="5"/>
      <c r="F7" s="5"/>
      <c r="G7" s="1" t="s">
        <v>13</v>
      </c>
      <c r="H7" s="5">
        <v>46023</v>
      </c>
      <c r="I7" s="6">
        <v>46203</v>
      </c>
      <c r="J7" s="7">
        <v>63.2</v>
      </c>
      <c r="K7" s="8">
        <v>72.7</v>
      </c>
      <c r="L7" s="8">
        <f t="shared" si="0"/>
        <v>94.800000000000011</v>
      </c>
      <c r="M7" s="8">
        <f t="shared" si="1"/>
        <v>126.4</v>
      </c>
      <c r="N7" s="7">
        <v>15.45</v>
      </c>
      <c r="O7" s="7">
        <v>7.45</v>
      </c>
      <c r="P7" s="7">
        <v>12.5</v>
      </c>
      <c r="Q7" s="7">
        <v>0.1</v>
      </c>
      <c r="R7" s="7">
        <v>1.05</v>
      </c>
      <c r="S7" s="8">
        <v>0.7</v>
      </c>
      <c r="T7" s="7">
        <v>0.05</v>
      </c>
      <c r="U7" s="12">
        <v>0.03</v>
      </c>
      <c r="V7" s="9">
        <v>4.54</v>
      </c>
    </row>
    <row r="8" spans="1:22" s="1" customFormat="1" ht="14" x14ac:dyDescent="0.15">
      <c r="A8" s="1" t="s">
        <v>10</v>
      </c>
      <c r="B8" s="1" t="s">
        <v>11</v>
      </c>
      <c r="C8" s="1">
        <v>281</v>
      </c>
      <c r="D8" s="1" t="s">
        <v>15</v>
      </c>
      <c r="E8" s="5">
        <v>45473</v>
      </c>
      <c r="F8" s="5">
        <v>44013</v>
      </c>
      <c r="G8" s="1" t="s">
        <v>19</v>
      </c>
      <c r="H8" s="5">
        <v>46023</v>
      </c>
      <c r="I8" s="6">
        <v>46203</v>
      </c>
      <c r="J8" s="7">
        <v>50.55</v>
      </c>
      <c r="K8" s="8">
        <f t="shared" ref="K8:K19" si="2">SUM(J8*1.15)</f>
        <v>58.132499999999993</v>
      </c>
      <c r="L8" s="8">
        <f t="shared" si="0"/>
        <v>75.824999999999989</v>
      </c>
      <c r="M8" s="8">
        <f t="shared" si="1"/>
        <v>101.1</v>
      </c>
      <c r="N8" s="7">
        <v>12.35</v>
      </c>
      <c r="O8" s="7">
        <v>7.45</v>
      </c>
      <c r="P8" s="7">
        <v>4.13</v>
      </c>
      <c r="Q8" s="7">
        <v>0.1</v>
      </c>
      <c r="R8" s="7">
        <v>1.05</v>
      </c>
      <c r="S8" s="8">
        <v>0.7</v>
      </c>
      <c r="T8" s="7">
        <v>0.05</v>
      </c>
      <c r="U8" s="12">
        <v>0.03</v>
      </c>
      <c r="V8" s="9">
        <v>3.81</v>
      </c>
    </row>
    <row r="9" spans="1:22" s="1" customFormat="1" ht="14" x14ac:dyDescent="0.15">
      <c r="A9" s="1" t="s">
        <v>10</v>
      </c>
      <c r="B9" s="1" t="s">
        <v>11</v>
      </c>
      <c r="C9" s="1">
        <v>281</v>
      </c>
      <c r="D9" s="1" t="s">
        <v>15</v>
      </c>
      <c r="E9" s="5">
        <v>45473</v>
      </c>
      <c r="F9" s="5">
        <v>44013</v>
      </c>
      <c r="G9" s="1" t="s">
        <v>20</v>
      </c>
      <c r="H9" s="5">
        <v>46023</v>
      </c>
      <c r="I9" s="6">
        <v>46203</v>
      </c>
      <c r="J9" s="7">
        <v>44.25</v>
      </c>
      <c r="K9" s="8">
        <f t="shared" si="2"/>
        <v>50.887499999999996</v>
      </c>
      <c r="L9" s="8">
        <f t="shared" si="0"/>
        <v>66.375</v>
      </c>
      <c r="M9" s="8">
        <f t="shared" si="1"/>
        <v>88.5</v>
      </c>
      <c r="N9" s="7">
        <v>10.8</v>
      </c>
      <c r="O9" s="7">
        <v>7.45</v>
      </c>
      <c r="P9" s="7">
        <v>4.13</v>
      </c>
      <c r="Q9" s="7">
        <v>0.1</v>
      </c>
      <c r="R9" s="7">
        <v>1.05</v>
      </c>
      <c r="S9" s="8">
        <v>0.7</v>
      </c>
      <c r="T9" s="7">
        <v>0.05</v>
      </c>
      <c r="U9" s="12">
        <v>0.03</v>
      </c>
      <c r="V9" s="9">
        <v>3.58</v>
      </c>
    </row>
    <row r="10" spans="1:22" s="1" customFormat="1" ht="14" x14ac:dyDescent="0.15">
      <c r="A10" s="1" t="s">
        <v>10</v>
      </c>
      <c r="B10" s="1" t="s">
        <v>11</v>
      </c>
      <c r="C10" s="1">
        <v>281</v>
      </c>
      <c r="D10" s="1" t="s">
        <v>15</v>
      </c>
      <c r="E10" s="5">
        <v>45473</v>
      </c>
      <c r="F10" s="5">
        <v>44013</v>
      </c>
      <c r="G10" s="1" t="s">
        <v>21</v>
      </c>
      <c r="H10" s="5">
        <v>46023</v>
      </c>
      <c r="I10" s="6">
        <v>46203</v>
      </c>
      <c r="J10" s="7">
        <v>37.9</v>
      </c>
      <c r="K10" s="8">
        <f t="shared" si="2"/>
        <v>43.584999999999994</v>
      </c>
      <c r="L10" s="8">
        <f t="shared" si="0"/>
        <v>56.849999999999994</v>
      </c>
      <c r="M10" s="8">
        <f t="shared" si="1"/>
        <v>75.8</v>
      </c>
      <c r="N10" s="7">
        <v>9.25</v>
      </c>
      <c r="O10" s="7">
        <v>7.45</v>
      </c>
      <c r="P10" s="7">
        <v>4.13</v>
      </c>
      <c r="Q10" s="7">
        <v>0.1</v>
      </c>
      <c r="R10" s="7">
        <v>1.05</v>
      </c>
      <c r="S10" s="8">
        <v>0.7</v>
      </c>
      <c r="T10" s="7">
        <v>0.05</v>
      </c>
      <c r="U10" s="12">
        <v>0.03</v>
      </c>
      <c r="V10" s="9">
        <v>3.34</v>
      </c>
    </row>
    <row r="11" spans="1:22" s="1" customFormat="1" ht="14" x14ac:dyDescent="0.15">
      <c r="A11" s="1" t="s">
        <v>10</v>
      </c>
      <c r="B11" s="1" t="s">
        <v>11</v>
      </c>
      <c r="C11" s="1">
        <v>281</v>
      </c>
      <c r="D11" s="1" t="s">
        <v>15</v>
      </c>
      <c r="E11" s="5">
        <v>45473</v>
      </c>
      <c r="F11" s="5">
        <v>44013</v>
      </c>
      <c r="G11" s="1" t="s">
        <v>22</v>
      </c>
      <c r="H11" s="5">
        <v>46023</v>
      </c>
      <c r="I11" s="6">
        <v>46203</v>
      </c>
      <c r="J11" s="7">
        <v>34.75</v>
      </c>
      <c r="K11" s="8">
        <f t="shared" si="2"/>
        <v>39.962499999999999</v>
      </c>
      <c r="L11" s="8">
        <f t="shared" si="0"/>
        <v>52.125</v>
      </c>
      <c r="M11" s="8">
        <f t="shared" si="1"/>
        <v>69.5</v>
      </c>
      <c r="N11" s="7">
        <v>8.5</v>
      </c>
      <c r="O11" s="7">
        <v>7.45</v>
      </c>
      <c r="P11" s="7">
        <v>4.13</v>
      </c>
      <c r="Q11" s="7">
        <v>0.1</v>
      </c>
      <c r="R11" s="7">
        <v>1.05</v>
      </c>
      <c r="S11" s="8">
        <v>0.7</v>
      </c>
      <c r="T11" s="7">
        <v>0.05</v>
      </c>
      <c r="U11" s="12">
        <v>0.03</v>
      </c>
      <c r="V11" s="9">
        <v>3.22</v>
      </c>
    </row>
    <row r="12" spans="1:22" s="1" customFormat="1" ht="14" x14ac:dyDescent="0.15">
      <c r="A12" s="1" t="s">
        <v>10</v>
      </c>
      <c r="B12" s="1" t="s">
        <v>11</v>
      </c>
      <c r="C12" s="1">
        <v>281</v>
      </c>
      <c r="D12" s="1" t="s">
        <v>15</v>
      </c>
      <c r="E12" s="5">
        <v>45473</v>
      </c>
      <c r="F12" s="5">
        <v>44013</v>
      </c>
      <c r="G12" s="1" t="s">
        <v>23</v>
      </c>
      <c r="H12" s="5">
        <v>46023</v>
      </c>
      <c r="I12" s="6">
        <v>46203</v>
      </c>
      <c r="J12" s="7">
        <v>34.799999999999997</v>
      </c>
      <c r="K12" s="8">
        <f t="shared" si="2"/>
        <v>40.019999999999996</v>
      </c>
      <c r="L12" s="8">
        <f t="shared" si="0"/>
        <v>52.199999999999996</v>
      </c>
      <c r="M12" s="8">
        <f t="shared" si="1"/>
        <v>69.599999999999994</v>
      </c>
      <c r="N12" s="7">
        <v>8.5</v>
      </c>
      <c r="O12" s="7">
        <v>0</v>
      </c>
      <c r="P12" s="7">
        <v>4.13</v>
      </c>
      <c r="Q12" s="7">
        <v>0.1</v>
      </c>
      <c r="R12" s="7">
        <v>1.05</v>
      </c>
      <c r="S12" s="8">
        <v>0.7</v>
      </c>
      <c r="T12" s="7">
        <v>0.05</v>
      </c>
      <c r="U12" s="12">
        <v>0.03</v>
      </c>
      <c r="V12" s="9">
        <v>3</v>
      </c>
    </row>
    <row r="13" spans="1:22" s="1" customFormat="1" ht="14" x14ac:dyDescent="0.15">
      <c r="A13" s="1" t="s">
        <v>10</v>
      </c>
      <c r="B13" s="1" t="s">
        <v>11</v>
      </c>
      <c r="C13" s="1">
        <v>281</v>
      </c>
      <c r="D13" s="1" t="s">
        <v>15</v>
      </c>
      <c r="E13" s="5">
        <v>45473</v>
      </c>
      <c r="F13" s="5">
        <v>44013</v>
      </c>
      <c r="G13" s="1" t="s">
        <v>24</v>
      </c>
      <c r="H13" s="5">
        <v>46023</v>
      </c>
      <c r="I13" s="6">
        <v>46203</v>
      </c>
      <c r="J13" s="7">
        <v>28.45</v>
      </c>
      <c r="K13" s="8">
        <f t="shared" si="2"/>
        <v>32.717499999999994</v>
      </c>
      <c r="L13" s="8">
        <f t="shared" si="0"/>
        <v>42.674999999999997</v>
      </c>
      <c r="M13" s="8">
        <f t="shared" si="1"/>
        <v>56.9</v>
      </c>
      <c r="N13" s="7">
        <v>6.95</v>
      </c>
      <c r="O13" s="7">
        <v>0</v>
      </c>
      <c r="P13" s="7">
        <v>0</v>
      </c>
      <c r="Q13" s="7">
        <v>0.1</v>
      </c>
      <c r="R13" s="7">
        <v>0</v>
      </c>
      <c r="S13" s="8">
        <v>0.7</v>
      </c>
      <c r="T13" s="7">
        <v>0.05</v>
      </c>
      <c r="U13" s="12">
        <v>0.03</v>
      </c>
      <c r="V13" s="9">
        <v>0</v>
      </c>
    </row>
    <row r="14" spans="1:22" s="1" customFormat="1" ht="14" x14ac:dyDescent="0.15">
      <c r="A14" s="1" t="s">
        <v>10</v>
      </c>
      <c r="B14" s="1" t="s">
        <v>11</v>
      </c>
      <c r="C14" s="1">
        <v>281</v>
      </c>
      <c r="D14" s="1" t="s">
        <v>15</v>
      </c>
      <c r="E14" s="5"/>
      <c r="F14" s="5">
        <v>45474</v>
      </c>
      <c r="G14" s="1" t="s">
        <v>19</v>
      </c>
      <c r="H14" s="5">
        <v>46023</v>
      </c>
      <c r="I14" s="6">
        <v>46203</v>
      </c>
      <c r="J14" s="7">
        <v>50.55</v>
      </c>
      <c r="K14" s="8">
        <f t="shared" si="2"/>
        <v>58.132499999999993</v>
      </c>
      <c r="L14" s="8">
        <f t="shared" si="0"/>
        <v>75.824999999999989</v>
      </c>
      <c r="M14" s="8">
        <f t="shared" si="1"/>
        <v>101.1</v>
      </c>
      <c r="N14" s="7">
        <v>13.15</v>
      </c>
      <c r="O14" s="7">
        <v>7.45</v>
      </c>
      <c r="P14" s="7">
        <v>4.13</v>
      </c>
      <c r="Q14" s="7">
        <v>0.1</v>
      </c>
      <c r="R14" s="7">
        <v>1.05</v>
      </c>
      <c r="S14" s="8">
        <v>0.7</v>
      </c>
      <c r="T14" s="7">
        <v>0.05</v>
      </c>
      <c r="U14" s="12">
        <v>0.03</v>
      </c>
      <c r="V14" s="9">
        <v>3.84</v>
      </c>
    </row>
    <row r="15" spans="1:22" s="1" customFormat="1" ht="14" x14ac:dyDescent="0.15">
      <c r="A15" s="1" t="s">
        <v>10</v>
      </c>
      <c r="B15" s="1" t="s">
        <v>11</v>
      </c>
      <c r="C15" s="1">
        <v>281</v>
      </c>
      <c r="D15" s="1" t="s">
        <v>15</v>
      </c>
      <c r="E15" s="5"/>
      <c r="F15" s="5">
        <v>45474</v>
      </c>
      <c r="G15" s="1" t="s">
        <v>20</v>
      </c>
      <c r="H15" s="5">
        <v>46023</v>
      </c>
      <c r="I15" s="6">
        <v>46203</v>
      </c>
      <c r="J15" s="7">
        <v>44.25</v>
      </c>
      <c r="K15" s="8">
        <f t="shared" si="2"/>
        <v>50.887499999999996</v>
      </c>
      <c r="L15" s="8">
        <f t="shared" si="0"/>
        <v>66.375</v>
      </c>
      <c r="M15" s="8">
        <f t="shared" si="1"/>
        <v>88.5</v>
      </c>
      <c r="N15" s="7">
        <v>12.35</v>
      </c>
      <c r="O15" s="7">
        <v>7.45</v>
      </c>
      <c r="P15" s="7">
        <v>4.13</v>
      </c>
      <c r="Q15" s="7">
        <v>0.1</v>
      </c>
      <c r="R15" s="7">
        <v>1.05</v>
      </c>
      <c r="S15" s="8">
        <v>0.7</v>
      </c>
      <c r="T15" s="7">
        <v>0.05</v>
      </c>
      <c r="U15" s="12">
        <v>0.03</v>
      </c>
      <c r="V15" s="9">
        <v>3.62</v>
      </c>
    </row>
    <row r="16" spans="1:22" s="1" customFormat="1" ht="14" x14ac:dyDescent="0.15">
      <c r="A16" s="1" t="s">
        <v>10</v>
      </c>
      <c r="B16" s="1" t="s">
        <v>11</v>
      </c>
      <c r="C16" s="1">
        <v>281</v>
      </c>
      <c r="D16" s="1" t="s">
        <v>15</v>
      </c>
      <c r="E16" s="5"/>
      <c r="F16" s="5">
        <v>45474</v>
      </c>
      <c r="G16" s="1" t="s">
        <v>21</v>
      </c>
      <c r="H16" s="5">
        <v>46023</v>
      </c>
      <c r="I16" s="6">
        <v>46203</v>
      </c>
      <c r="J16" s="7">
        <v>37.9</v>
      </c>
      <c r="K16" s="8">
        <f t="shared" si="2"/>
        <v>43.584999999999994</v>
      </c>
      <c r="L16" s="8">
        <f t="shared" si="0"/>
        <v>56.849999999999994</v>
      </c>
      <c r="M16" s="8">
        <f t="shared" si="1"/>
        <v>75.8</v>
      </c>
      <c r="N16" s="7">
        <v>11.6</v>
      </c>
      <c r="O16" s="7">
        <v>7.45</v>
      </c>
      <c r="P16" s="7">
        <v>4.13</v>
      </c>
      <c r="Q16" s="7">
        <v>0.1</v>
      </c>
      <c r="R16" s="7">
        <v>1.05</v>
      </c>
      <c r="S16" s="8">
        <v>0.7</v>
      </c>
      <c r="T16" s="7">
        <v>0.05</v>
      </c>
      <c r="U16" s="12">
        <v>0.03</v>
      </c>
      <c r="V16" s="9">
        <v>3.41</v>
      </c>
    </row>
    <row r="17" spans="1:22" s="1" customFormat="1" ht="14" x14ac:dyDescent="0.15">
      <c r="A17" s="1" t="s">
        <v>10</v>
      </c>
      <c r="B17" s="1" t="s">
        <v>11</v>
      </c>
      <c r="C17" s="1">
        <v>281</v>
      </c>
      <c r="D17" s="1" t="s">
        <v>15</v>
      </c>
      <c r="E17" s="5"/>
      <c r="F17" s="5">
        <v>45474</v>
      </c>
      <c r="G17" s="1" t="s">
        <v>22</v>
      </c>
      <c r="H17" s="5">
        <v>46023</v>
      </c>
      <c r="I17" s="6">
        <v>46203</v>
      </c>
      <c r="J17" s="7">
        <v>34.75</v>
      </c>
      <c r="K17" s="8">
        <f t="shared" si="2"/>
        <v>39.962499999999999</v>
      </c>
      <c r="L17" s="8">
        <f t="shared" si="0"/>
        <v>52.125</v>
      </c>
      <c r="M17" s="8">
        <f t="shared" si="1"/>
        <v>69.5</v>
      </c>
      <c r="N17" s="7">
        <v>11.6</v>
      </c>
      <c r="O17" s="7">
        <v>7.45</v>
      </c>
      <c r="P17" s="7">
        <v>4.13</v>
      </c>
      <c r="Q17" s="7">
        <v>0.1</v>
      </c>
      <c r="R17" s="7">
        <v>1.05</v>
      </c>
      <c r="S17" s="8">
        <v>0.7</v>
      </c>
      <c r="T17" s="7">
        <v>0.05</v>
      </c>
      <c r="U17" s="12">
        <v>0.03</v>
      </c>
      <c r="V17" s="9">
        <v>3.31</v>
      </c>
    </row>
    <row r="18" spans="1:22" s="1" customFormat="1" ht="14" x14ac:dyDescent="0.15">
      <c r="A18" s="1" t="s">
        <v>10</v>
      </c>
      <c r="B18" s="1" t="s">
        <v>11</v>
      </c>
      <c r="C18" s="1">
        <v>281</v>
      </c>
      <c r="D18" s="1" t="s">
        <v>15</v>
      </c>
      <c r="E18" s="5"/>
      <c r="F18" s="5">
        <v>45474</v>
      </c>
      <c r="G18" s="1" t="s">
        <v>23</v>
      </c>
      <c r="H18" s="5">
        <v>46023</v>
      </c>
      <c r="I18" s="6">
        <v>46203</v>
      </c>
      <c r="J18" s="7">
        <v>34.799999999999997</v>
      </c>
      <c r="K18" s="8">
        <f t="shared" si="2"/>
        <v>40.019999999999996</v>
      </c>
      <c r="L18" s="8">
        <f t="shared" si="0"/>
        <v>52.199999999999996</v>
      </c>
      <c r="M18" s="8">
        <f t="shared" si="1"/>
        <v>69.599999999999994</v>
      </c>
      <c r="N18" s="7">
        <v>11.6</v>
      </c>
      <c r="O18" s="7">
        <v>0</v>
      </c>
      <c r="P18" s="7">
        <v>4.13</v>
      </c>
      <c r="Q18" s="7">
        <v>0.1</v>
      </c>
      <c r="R18" s="7">
        <v>1.05</v>
      </c>
      <c r="S18" s="8">
        <v>0.7</v>
      </c>
      <c r="T18" s="7">
        <v>0.05</v>
      </c>
      <c r="U18" s="12">
        <v>0.03</v>
      </c>
      <c r="V18" s="9">
        <v>3.09</v>
      </c>
    </row>
    <row r="19" spans="1:22" s="1" customFormat="1" ht="14" x14ac:dyDescent="0.15">
      <c r="A19" s="1" t="s">
        <v>10</v>
      </c>
      <c r="B19" s="1" t="s">
        <v>11</v>
      </c>
      <c r="C19" s="1">
        <v>281</v>
      </c>
      <c r="D19" s="1" t="s">
        <v>15</v>
      </c>
      <c r="E19" s="5"/>
      <c r="F19" s="5">
        <v>45474</v>
      </c>
      <c r="G19" s="1" t="s">
        <v>24</v>
      </c>
      <c r="H19" s="5">
        <v>46023</v>
      </c>
      <c r="I19" s="6">
        <v>46203</v>
      </c>
      <c r="J19" s="7">
        <v>28.45</v>
      </c>
      <c r="K19" s="8">
        <f t="shared" si="2"/>
        <v>32.717499999999994</v>
      </c>
      <c r="L19" s="8">
        <f t="shared" si="0"/>
        <v>42.674999999999997</v>
      </c>
      <c r="M19" s="8">
        <f t="shared" si="1"/>
        <v>56.9</v>
      </c>
      <c r="N19" s="7">
        <v>10.8</v>
      </c>
      <c r="O19" s="7">
        <v>0</v>
      </c>
      <c r="P19" s="7">
        <v>0</v>
      </c>
      <c r="Q19" s="7">
        <v>0.1</v>
      </c>
      <c r="R19" s="7">
        <v>1.05</v>
      </c>
      <c r="S19" s="8">
        <v>0.7</v>
      </c>
      <c r="T19" s="7">
        <v>0.05</v>
      </c>
      <c r="U19" s="12">
        <v>0.03</v>
      </c>
      <c r="V19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2026.01.01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Phillip</dc:creator>
  <cp:lastModifiedBy>Ciembor, Danniel</cp:lastModifiedBy>
  <dcterms:created xsi:type="dcterms:W3CDTF">2024-02-08T21:05:21Z</dcterms:created>
  <dcterms:modified xsi:type="dcterms:W3CDTF">2026-03-03T03:49:03Z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1033</vt:lpwstr>
  </property>
</Properties>
</file>